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blo.estobar\wkspaces\Ayudantia - 2025-1\"/>
    </mc:Choice>
  </mc:AlternateContent>
  <xr:revisionPtr revIDLastSave="0" documentId="13_ncr:1_{587A01A8-1D03-470C-989C-94DC6AA94272}" xr6:coauthVersionLast="47" xr6:coauthVersionMax="47" xr10:uidLastSave="{00000000-0000-0000-0000-000000000000}"/>
  <bookViews>
    <workbookView xWindow="12795" yWindow="-11640" windowWidth="20640" windowHeight="11160" tabRatio="500" xr2:uid="{00000000-000D-0000-FFFF-FFFF00000000}"/>
  </bookViews>
  <sheets>
    <sheet name="Hoja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U37" i="1" l="1"/>
  <c r="T37" i="1"/>
  <c r="S37" i="1"/>
  <c r="R37" i="1"/>
  <c r="Q37" i="1"/>
  <c r="P37" i="1"/>
  <c r="O37" i="1"/>
  <c r="N37" i="1"/>
  <c r="M37" i="1"/>
  <c r="L37" i="1"/>
  <c r="K37" i="1"/>
  <c r="J37" i="1"/>
  <c r="I37" i="1"/>
  <c r="B37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B36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B35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B34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B33" i="1"/>
  <c r="U32" i="1"/>
  <c r="U38" i="1" s="1"/>
  <c r="U40" i="1" s="1"/>
  <c r="T32" i="1"/>
  <c r="T38" i="1" s="1"/>
  <c r="T40" i="1" s="1"/>
  <c r="S32" i="1"/>
  <c r="S38" i="1" s="1"/>
  <c r="S40" i="1" s="1"/>
  <c r="R32" i="1"/>
  <c r="R38" i="1" s="1"/>
  <c r="R40" i="1" s="1"/>
  <c r="Q32" i="1"/>
  <c r="Q38" i="1" s="1"/>
  <c r="Q40" i="1" s="1"/>
  <c r="P32" i="1"/>
  <c r="P38" i="1" s="1"/>
  <c r="P40" i="1" s="1"/>
  <c r="O32" i="1"/>
  <c r="O38" i="1" s="1"/>
  <c r="O40" i="1" s="1"/>
  <c r="N32" i="1"/>
  <c r="N38" i="1" s="1"/>
  <c r="N40" i="1" s="1"/>
  <c r="M32" i="1"/>
  <c r="M38" i="1" s="1"/>
  <c r="M40" i="1" s="1"/>
  <c r="L32" i="1"/>
  <c r="L38" i="1" s="1"/>
  <c r="L40" i="1" s="1"/>
  <c r="K32" i="1"/>
  <c r="K38" i="1" s="1"/>
  <c r="K40" i="1" s="1"/>
  <c r="J32" i="1"/>
  <c r="J38" i="1" s="1"/>
  <c r="J40" i="1" s="1"/>
  <c r="I32" i="1"/>
  <c r="I38" i="1" s="1"/>
  <c r="I40" i="1" s="1"/>
  <c r="B3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N39" authorId="0" shapeId="0" xr:uid="{00000000-0006-0000-0000-000001000000}">
      <text>
        <r>
          <rPr>
            <sz val="12"/>
            <color rgb="FF000000"/>
            <rFont val="Calibri"/>
            <family val="2"/>
            <charset val="1"/>
          </rPr>
          <t>PABLO IGNACIO ESTOBAR FERNÁNDEZ (Alumno):
- No implementación del algoritmo asignado.</t>
        </r>
      </text>
    </comment>
  </commentList>
</comments>
</file>

<file path=xl/sharedStrings.xml><?xml version="1.0" encoding="utf-8"?>
<sst xmlns="http://schemas.openxmlformats.org/spreadsheetml/2006/main" count="26" uniqueCount="26">
  <si>
    <t>PRESENTACIÓN FINAL PROYECTO IA</t>
  </si>
  <si>
    <t>Escala: Excelente (5), Bueno (4), Aceptable (3), Deficiente (2), Malo (1), Ausente (0)</t>
  </si>
  <si>
    <t>ESTUDIANTE</t>
  </si>
  <si>
    <t>Ejemplo</t>
  </si>
  <si>
    <t>GENERAL (10%)</t>
  </si>
  <si>
    <t>Entiende claramente lo que está presentando, es capaz de re-explicar ideas con palabras sencillas de forma que la audiencia comprenda.</t>
  </si>
  <si>
    <t>Utiliza un lenguaje adecuado. Utiliza conceptos aprendidos en el curso. Es coherente en el uso del lenguaje.</t>
  </si>
  <si>
    <t>Se evidencia ensayo/preparación en la presentación. La presentación fluye respecto a lo que explica. No hay pausas innecesarias.</t>
  </si>
  <si>
    <t>PROPUESTA (35%)</t>
  </si>
  <si>
    <t>Explica como se relacionan los componentes de la propuesta</t>
  </si>
  <si>
    <t>Explica la implementación de manera adecuada, breve y precisa</t>
  </si>
  <si>
    <t>Justifica el objetivo de los componentes de la propuesta</t>
  </si>
  <si>
    <t>EXPERIMENTOS (20%)</t>
  </si>
  <si>
    <t>Justifica y explica los experimentos realizados</t>
  </si>
  <si>
    <t>Utiliza recursos apropiados para mostrar sus resultados (tablas/gráficos), los explica y concluye debidamente</t>
  </si>
  <si>
    <r>
      <rPr>
        <sz val="15"/>
        <color rgb="FF000000"/>
        <rFont val="arial"/>
        <family val="2"/>
        <charset val="1"/>
      </rPr>
      <t>Los experimentos son suficientes. Al menos un análisis de componentes/valores parámetros y una comparación con el estado del arte. Cada evaluación para al menos</t>
    </r>
    <r>
      <rPr>
        <sz val="15"/>
        <color rgb="FFC9211E"/>
        <rFont val="arial"/>
        <family val="2"/>
        <charset val="1"/>
      </rPr>
      <t xml:space="preserve"> </t>
    </r>
    <r>
      <rPr>
        <sz val="15"/>
        <rFont val="arial"/>
        <family val="2"/>
        <charset val="1"/>
      </rPr>
      <t>5 instancias del problema.</t>
    </r>
  </si>
  <si>
    <t>CONCLUSIONES (20%)</t>
  </si>
  <si>
    <t>Concluye correctamente acerca de los aspectos más relevantes de su trabajo</t>
  </si>
  <si>
    <t>Las conclusiones son suficientes respecto a tres aspectos: La dificultad del problema general (qué/cuándo lo hace más difícil), el uso del algoritmo en el problema (porqué/cuándo es bueno y porqué/cuándo no) y mejoras que requiere el acercamiento.</t>
  </si>
  <si>
    <t>TIEMPO (10%)</t>
  </si>
  <si>
    <t>Utiliza sus tiempos de manera adecuada. Dedica tiempo suficiente a ideas más complejas. Explica en pocas palabras conceptos sencillos. MAX:15 MINUTOS</t>
  </si>
  <si>
    <t>MATERIAL (5%)</t>
  </si>
  <si>
    <t>Las diapositivas no están cargadas de texto y son útiles para explicar su trabajo</t>
  </si>
  <si>
    <t>NOTA FINAL (SIN DESCUENTOS)</t>
  </si>
  <si>
    <t>DESCUENTOS</t>
  </si>
  <si>
    <t>NOTA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</si>
</sst>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rgb="FF000000"/>
      <name val="Calibri"/>
      <family val="2"/>
      <charset val="1"/>
    </font>
    <font>
      <b/>
      <sz val="18"/>
      <color rgb="FFFFFFFF"/>
      <name val="arial"/>
      <family val="2"/>
      <charset val="1"/>
    </font>
    <font>
      <b/>
      <sz val="14"/>
      <color rgb="FF000000"/>
      <name val="Calibri"/>
      <family val="2"/>
      <charset val="1"/>
    </font>
    <font>
      <sz val="18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sz val="15"/>
      <color rgb="FFFFFFFF"/>
      <name val="arial"/>
      <family val="2"/>
      <charset val="1"/>
    </font>
    <font>
      <sz val="15"/>
      <color rgb="FF000000"/>
      <name val="arial"/>
      <family val="2"/>
      <charset val="1"/>
    </font>
    <font>
      <sz val="15"/>
      <color rgb="FFC9211E"/>
      <name val="arial"/>
      <family val="2"/>
      <charset val="1"/>
    </font>
    <font>
      <sz val="15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5B9BD5"/>
        <bgColor rgb="FF969696"/>
      </patternFill>
    </fill>
    <fill>
      <patternFill patternType="solid">
        <fgColor rgb="FF9DC3E6"/>
        <bgColor rgb="FFC0C0C0"/>
      </patternFill>
    </fill>
    <fill>
      <patternFill patternType="solid">
        <fgColor rgb="FFF8CBAD"/>
        <bgColor rgb="FFC0C0C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6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4" fillId="0" borderId="2" xfId="0" applyFont="1" applyBorder="1" applyAlignment="1">
      <alignment horizontal="center" vertical="center" textRotation="255"/>
    </xf>
    <xf numFmtId="0" fontId="4" fillId="0" borderId="1" xfId="0" applyFont="1" applyBorder="1" applyAlignment="1">
      <alignment horizontal="center" vertical="center" textRotation="255"/>
    </xf>
    <xf numFmtId="0" fontId="3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 vertical="center" textRotation="255"/>
    </xf>
    <xf numFmtId="0" fontId="0" fillId="0" borderId="0" xfId="0" applyAlignment="1">
      <alignment horizontal="center" wrapText="1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" fontId="0" fillId="3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2" fontId="0" fillId="4" borderId="2" xfId="0" applyNumberForma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3" borderId="5" xfId="0" applyNumberFormat="1" applyFill="1" applyBorder="1" applyAlignment="1">
      <alignment horizontal="center" vertical="center"/>
    </xf>
    <xf numFmtId="2" fontId="0" fillId="4" borderId="5" xfId="0" applyNumberFormat="1" applyFill="1" applyBorder="1" applyAlignment="1">
      <alignment horizontal="center" vertical="center"/>
    </xf>
    <xf numFmtId="2" fontId="0" fillId="3" borderId="5" xfId="0" applyNumberFormat="1" applyFill="1" applyBorder="1" applyAlignment="1">
      <alignment horizontal="center" vertical="center"/>
    </xf>
    <xf numFmtId="2" fontId="0" fillId="4" borderId="6" xfId="0" applyNumberFormat="1" applyFill="1" applyBorder="1" applyAlignment="1">
      <alignment horizontal="center" vertical="center"/>
    </xf>
    <xf numFmtId="2" fontId="0" fillId="3" borderId="7" xfId="0" applyNumberForma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FF000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Y40"/>
  <sheetViews>
    <sheetView tabSelected="1" zoomScale="40" zoomScaleNormal="40" workbookViewId="0">
      <selection activeCell="I3" sqref="I3:I4"/>
    </sheetView>
  </sheetViews>
  <sheetFormatPr baseColWidth="10" defaultColWidth="14.5" defaultRowHeight="15.75" x14ac:dyDescent="0.25"/>
  <cols>
    <col min="1" max="1" width="4.625" customWidth="1"/>
    <col min="2" max="2" width="16.125" customWidth="1"/>
    <col min="6" max="6" width="12.125" customWidth="1"/>
    <col min="7" max="7" width="38.875" customWidth="1"/>
    <col min="8" max="8" width="1.5" customWidth="1"/>
    <col min="9" max="9" width="8.625" style="9" customWidth="1"/>
    <col min="10" max="10" width="8.125" style="9" customWidth="1"/>
    <col min="11" max="11" width="7.625" style="9" customWidth="1"/>
    <col min="12" max="12" width="9.125" style="9" customWidth="1"/>
    <col min="13" max="13" width="8.5" style="9" customWidth="1"/>
    <col min="14" max="14" width="7.875" style="9" customWidth="1"/>
    <col min="15" max="15" width="8.5" style="9" customWidth="1"/>
    <col min="16" max="16" width="9.5" style="9" customWidth="1"/>
    <col min="17" max="17" width="9.375" style="9" customWidth="1"/>
    <col min="18" max="18" width="9.625" style="10" customWidth="1"/>
    <col min="19" max="19" width="8.625" style="9" customWidth="1"/>
    <col min="20" max="20" width="8.375" style="9" customWidth="1"/>
    <col min="21" max="21" width="10.5" style="9" customWidth="1"/>
    <col min="22" max="25" width="6" style="9" customWidth="1"/>
    <col min="1016" max="1023" width="13" customWidth="1"/>
    <col min="1024" max="1024" width="11" customWidth="1"/>
  </cols>
  <sheetData>
    <row r="1" spans="2:25" ht="30.75" customHeight="1" x14ac:dyDescent="0.25">
      <c r="B1" s="8" t="s">
        <v>0</v>
      </c>
      <c r="C1" s="8"/>
      <c r="D1" s="8"/>
      <c r="E1" s="8"/>
      <c r="F1" s="8"/>
      <c r="G1" s="8"/>
      <c r="I1" s="7" t="s">
        <v>1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11"/>
      <c r="W1" s="11"/>
      <c r="X1" s="11"/>
      <c r="Y1" s="11"/>
    </row>
    <row r="2" spans="2:25" x14ac:dyDescent="0.25">
      <c r="R2" s="12"/>
    </row>
    <row r="3" spans="2:25" ht="70.5" customHeight="1" x14ac:dyDescent="0.25">
      <c r="B3" s="6" t="s">
        <v>2</v>
      </c>
      <c r="C3" s="6"/>
      <c r="D3" s="6"/>
      <c r="E3" s="6"/>
      <c r="F3" s="6"/>
      <c r="G3" s="6"/>
      <c r="I3" s="5" t="s">
        <v>3</v>
      </c>
      <c r="J3" s="5"/>
      <c r="K3" s="5"/>
      <c r="L3" s="5"/>
      <c r="M3" s="5"/>
      <c r="N3" s="5"/>
      <c r="O3" s="5"/>
      <c r="P3" s="5"/>
      <c r="Q3" s="5"/>
      <c r="R3" s="5"/>
      <c r="S3" s="5"/>
      <c r="T3" s="4"/>
      <c r="U3" s="5"/>
      <c r="V3" s="3"/>
      <c r="W3" s="3"/>
      <c r="X3" s="3"/>
      <c r="Y3" s="3"/>
    </row>
    <row r="4" spans="2:25" ht="82.5" customHeight="1" x14ac:dyDescent="0.25">
      <c r="B4" s="6"/>
      <c r="C4" s="6"/>
      <c r="D4" s="6"/>
      <c r="E4" s="6"/>
      <c r="F4" s="6"/>
      <c r="G4" s="6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4"/>
      <c r="U4" s="5"/>
      <c r="V4" s="3"/>
      <c r="W4" s="3"/>
      <c r="X4" s="3"/>
      <c r="Y4" s="3"/>
    </row>
    <row r="5" spans="2:25" x14ac:dyDescent="0.25">
      <c r="I5" s="14"/>
      <c r="J5" s="14"/>
      <c r="K5" s="14"/>
      <c r="L5" s="14"/>
      <c r="M5" s="14"/>
      <c r="N5" s="14"/>
      <c r="P5" s="14"/>
      <c r="R5" s="9"/>
      <c r="S5" s="14"/>
      <c r="T5" s="14"/>
      <c r="U5" s="14"/>
    </row>
    <row r="6" spans="2:25" ht="18.600000000000001" customHeight="1" x14ac:dyDescent="0.25">
      <c r="B6" s="2" t="s">
        <v>4</v>
      </c>
      <c r="C6" s="2"/>
      <c r="D6" s="2"/>
      <c r="E6" s="2"/>
      <c r="F6" s="2"/>
      <c r="G6" s="2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3"/>
      <c r="W6" s="13"/>
      <c r="X6" s="13"/>
      <c r="Y6" s="13"/>
    </row>
    <row r="7" spans="2:25" ht="34.700000000000003" customHeight="1" x14ac:dyDescent="0.25">
      <c r="B7" s="1" t="s">
        <v>5</v>
      </c>
      <c r="C7" s="1"/>
      <c r="D7" s="1"/>
      <c r="E7" s="1"/>
      <c r="F7" s="1"/>
      <c r="G7" s="1"/>
      <c r="I7" s="16">
        <v>5</v>
      </c>
      <c r="J7" s="17">
        <v>0</v>
      </c>
      <c r="K7" s="16">
        <v>0</v>
      </c>
      <c r="L7" s="18">
        <v>0</v>
      </c>
      <c r="M7" s="16">
        <v>0</v>
      </c>
      <c r="N7" s="17">
        <v>0</v>
      </c>
      <c r="O7" s="16">
        <v>0</v>
      </c>
      <c r="P7" s="17">
        <v>0</v>
      </c>
      <c r="Q7" s="16">
        <v>0</v>
      </c>
      <c r="R7" s="18">
        <v>0</v>
      </c>
      <c r="S7" s="16">
        <v>0</v>
      </c>
      <c r="T7" s="19">
        <v>0</v>
      </c>
      <c r="U7" s="16">
        <v>0</v>
      </c>
    </row>
    <row r="8" spans="2:25" ht="34.700000000000003" customHeight="1" x14ac:dyDescent="0.25">
      <c r="B8" s="1" t="s">
        <v>6</v>
      </c>
      <c r="C8" s="1"/>
      <c r="D8" s="1"/>
      <c r="E8" s="1"/>
      <c r="F8" s="1"/>
      <c r="G8" s="1"/>
      <c r="I8" s="16">
        <v>5</v>
      </c>
      <c r="J8" s="17">
        <v>0</v>
      </c>
      <c r="K8" s="16">
        <v>0</v>
      </c>
      <c r="L8" s="18">
        <v>0</v>
      </c>
      <c r="M8" s="16">
        <v>0</v>
      </c>
      <c r="N8" s="17">
        <v>0</v>
      </c>
      <c r="O8" s="16">
        <v>0</v>
      </c>
      <c r="P8" s="17">
        <v>0</v>
      </c>
      <c r="Q8" s="16">
        <v>0</v>
      </c>
      <c r="R8" s="18">
        <v>0</v>
      </c>
      <c r="S8" s="16">
        <v>0</v>
      </c>
      <c r="T8" s="19">
        <v>0</v>
      </c>
      <c r="U8" s="16">
        <v>0</v>
      </c>
    </row>
    <row r="9" spans="2:25" ht="34.700000000000003" customHeight="1" x14ac:dyDescent="0.25">
      <c r="B9" s="1" t="s">
        <v>7</v>
      </c>
      <c r="C9" s="1"/>
      <c r="D9" s="1"/>
      <c r="E9" s="1"/>
      <c r="F9" s="1"/>
      <c r="G9" s="1"/>
      <c r="I9" s="16">
        <v>5</v>
      </c>
      <c r="J9" s="17">
        <v>0</v>
      </c>
      <c r="K9" s="16">
        <v>0</v>
      </c>
      <c r="L9" s="18">
        <v>0</v>
      </c>
      <c r="M9" s="16">
        <v>0</v>
      </c>
      <c r="N9" s="17">
        <v>0</v>
      </c>
      <c r="O9" s="16">
        <v>0</v>
      </c>
      <c r="P9" s="17">
        <v>0</v>
      </c>
      <c r="Q9" s="16">
        <v>0</v>
      </c>
      <c r="R9" s="18">
        <v>0</v>
      </c>
      <c r="S9" s="16">
        <v>0</v>
      </c>
      <c r="T9" s="19">
        <v>0</v>
      </c>
      <c r="U9" s="16">
        <v>0</v>
      </c>
    </row>
    <row r="10" spans="2:25" ht="18.75" x14ac:dyDescent="0.25">
      <c r="B10" s="20"/>
      <c r="C10" s="20"/>
      <c r="D10" s="20"/>
      <c r="E10" s="20"/>
      <c r="F10" s="20"/>
      <c r="G10" s="20"/>
    </row>
    <row r="11" spans="2:25" ht="18.75" x14ac:dyDescent="0.25">
      <c r="B11" s="20"/>
      <c r="C11" s="20"/>
      <c r="D11" s="20"/>
      <c r="E11" s="20"/>
      <c r="F11" s="20"/>
      <c r="G11" s="20"/>
    </row>
    <row r="12" spans="2:25" ht="18.600000000000001" customHeight="1" x14ac:dyDescent="0.25">
      <c r="B12" s="2" t="s">
        <v>8</v>
      </c>
      <c r="C12" s="2"/>
      <c r="D12" s="2"/>
      <c r="E12" s="2"/>
      <c r="F12" s="2"/>
      <c r="G12" s="2"/>
    </row>
    <row r="13" spans="2:25" ht="18.600000000000001" customHeight="1" x14ac:dyDescent="0.25">
      <c r="B13" s="1" t="s">
        <v>9</v>
      </c>
      <c r="C13" s="1"/>
      <c r="D13" s="1"/>
      <c r="E13" s="1"/>
      <c r="F13" s="1"/>
      <c r="G13" s="1"/>
      <c r="I13" s="16">
        <v>5</v>
      </c>
      <c r="J13" s="17">
        <v>0</v>
      </c>
      <c r="K13" s="16">
        <v>0</v>
      </c>
      <c r="L13" s="17">
        <v>0</v>
      </c>
      <c r="M13" s="16">
        <v>0</v>
      </c>
      <c r="N13" s="17">
        <v>0</v>
      </c>
      <c r="O13" s="16">
        <v>0</v>
      </c>
      <c r="P13" s="17">
        <v>0</v>
      </c>
      <c r="Q13" s="16">
        <v>0</v>
      </c>
      <c r="R13" s="18">
        <v>0</v>
      </c>
      <c r="S13" s="16">
        <v>0</v>
      </c>
      <c r="T13" s="19">
        <v>0</v>
      </c>
      <c r="U13" s="16">
        <v>0</v>
      </c>
    </row>
    <row r="14" spans="2:25" ht="18.600000000000001" customHeight="1" x14ac:dyDescent="0.25">
      <c r="B14" s="1" t="s">
        <v>10</v>
      </c>
      <c r="C14" s="1"/>
      <c r="D14" s="1"/>
      <c r="E14" s="1"/>
      <c r="F14" s="1"/>
      <c r="G14" s="1"/>
      <c r="I14" s="16">
        <v>5</v>
      </c>
      <c r="J14" s="17">
        <v>0</v>
      </c>
      <c r="K14" s="16">
        <v>0</v>
      </c>
      <c r="L14" s="17">
        <v>0</v>
      </c>
      <c r="M14" s="16">
        <v>0</v>
      </c>
      <c r="N14" s="17">
        <v>0</v>
      </c>
      <c r="O14" s="16">
        <v>0</v>
      </c>
      <c r="P14" s="17">
        <v>0</v>
      </c>
      <c r="Q14" s="16">
        <v>0</v>
      </c>
      <c r="R14" s="18">
        <v>0</v>
      </c>
      <c r="S14" s="16">
        <v>0</v>
      </c>
      <c r="T14" s="19">
        <v>0</v>
      </c>
      <c r="U14" s="16">
        <v>0</v>
      </c>
    </row>
    <row r="15" spans="2:25" ht="18.600000000000001" customHeight="1" x14ac:dyDescent="0.25">
      <c r="B15" s="1" t="s">
        <v>11</v>
      </c>
      <c r="C15" s="1"/>
      <c r="D15" s="1"/>
      <c r="E15" s="1"/>
      <c r="F15" s="1"/>
      <c r="G15" s="1"/>
      <c r="I15" s="16">
        <v>5</v>
      </c>
      <c r="J15" s="17">
        <v>0</v>
      </c>
      <c r="K15" s="16">
        <v>0</v>
      </c>
      <c r="L15" s="17">
        <v>0</v>
      </c>
      <c r="M15" s="16">
        <v>0</v>
      </c>
      <c r="N15" s="17">
        <v>0</v>
      </c>
      <c r="O15" s="16">
        <v>0</v>
      </c>
      <c r="P15" s="17">
        <v>0</v>
      </c>
      <c r="Q15" s="16">
        <v>0</v>
      </c>
      <c r="R15" s="18">
        <v>0</v>
      </c>
      <c r="S15" s="16">
        <v>0</v>
      </c>
      <c r="T15" s="19">
        <v>0</v>
      </c>
      <c r="U15" s="16">
        <v>0</v>
      </c>
    </row>
    <row r="16" spans="2:25" ht="18.75" x14ac:dyDescent="0.25">
      <c r="B16" s="20"/>
      <c r="C16" s="20"/>
      <c r="D16" s="20"/>
      <c r="E16" s="20"/>
      <c r="F16" s="20"/>
      <c r="G16" s="20"/>
    </row>
    <row r="17" spans="2:25" ht="18.600000000000001" customHeight="1" x14ac:dyDescent="0.25">
      <c r="B17" s="2" t="s">
        <v>12</v>
      </c>
      <c r="C17" s="2"/>
      <c r="D17" s="2"/>
      <c r="E17" s="2"/>
      <c r="F17" s="2"/>
      <c r="G17" s="2"/>
    </row>
    <row r="18" spans="2:25" ht="18.600000000000001" customHeight="1" x14ac:dyDescent="0.25">
      <c r="B18" s="1" t="s">
        <v>13</v>
      </c>
      <c r="C18" s="1"/>
      <c r="D18" s="1"/>
      <c r="E18" s="1"/>
      <c r="F18" s="1"/>
      <c r="G18" s="1"/>
      <c r="I18" s="16">
        <v>5</v>
      </c>
      <c r="J18" s="17">
        <v>0</v>
      </c>
      <c r="K18" s="16">
        <v>0</v>
      </c>
      <c r="L18" s="17">
        <v>0</v>
      </c>
      <c r="M18" s="16">
        <v>0</v>
      </c>
      <c r="N18" s="17">
        <v>0</v>
      </c>
      <c r="O18" s="16">
        <v>0</v>
      </c>
      <c r="P18" s="19">
        <v>0</v>
      </c>
      <c r="Q18" s="16">
        <v>0</v>
      </c>
      <c r="R18" s="21">
        <v>0</v>
      </c>
      <c r="S18" s="16">
        <v>0</v>
      </c>
      <c r="T18" s="19">
        <v>0</v>
      </c>
      <c r="U18" s="16">
        <v>0</v>
      </c>
    </row>
    <row r="19" spans="2:25" ht="34.700000000000003" customHeight="1" x14ac:dyDescent="0.25">
      <c r="B19" s="1" t="s">
        <v>14</v>
      </c>
      <c r="C19" s="1"/>
      <c r="D19" s="1"/>
      <c r="E19" s="1"/>
      <c r="F19" s="1"/>
      <c r="G19" s="1"/>
      <c r="I19" s="16">
        <v>5</v>
      </c>
      <c r="J19" s="17">
        <v>0</v>
      </c>
      <c r="K19" s="16">
        <v>0</v>
      </c>
      <c r="L19" s="17">
        <v>0</v>
      </c>
      <c r="M19" s="16">
        <v>0</v>
      </c>
      <c r="N19" s="17">
        <v>0</v>
      </c>
      <c r="O19" s="16">
        <v>0</v>
      </c>
      <c r="P19" s="19">
        <v>0</v>
      </c>
      <c r="Q19" s="16">
        <v>0</v>
      </c>
      <c r="R19" s="21">
        <v>0</v>
      </c>
      <c r="S19" s="16">
        <v>0</v>
      </c>
      <c r="T19" s="19">
        <v>0</v>
      </c>
      <c r="U19" s="16">
        <v>0</v>
      </c>
    </row>
    <row r="20" spans="2:25" ht="52.15" customHeight="1" x14ac:dyDescent="0.25">
      <c r="B20" s="1" t="s">
        <v>15</v>
      </c>
      <c r="C20" s="1"/>
      <c r="D20" s="1"/>
      <c r="E20" s="1"/>
      <c r="F20" s="1"/>
      <c r="G20" s="1"/>
      <c r="I20" s="16">
        <v>5</v>
      </c>
      <c r="J20" s="17">
        <v>0</v>
      </c>
      <c r="K20" s="16">
        <v>0</v>
      </c>
      <c r="L20" s="17">
        <v>0</v>
      </c>
      <c r="M20" s="16">
        <v>0</v>
      </c>
      <c r="N20" s="17">
        <v>0</v>
      </c>
      <c r="O20" s="16">
        <v>0</v>
      </c>
      <c r="P20" s="19">
        <v>0</v>
      </c>
      <c r="Q20" s="16">
        <v>0</v>
      </c>
      <c r="R20" s="21">
        <v>0</v>
      </c>
      <c r="S20" s="16">
        <v>0</v>
      </c>
      <c r="T20" s="19">
        <v>0</v>
      </c>
      <c r="U20" s="16">
        <v>0</v>
      </c>
    </row>
    <row r="21" spans="2:25" ht="18.75" x14ac:dyDescent="0.25">
      <c r="B21" s="20"/>
      <c r="C21" s="20"/>
      <c r="D21" s="20"/>
      <c r="E21" s="20"/>
      <c r="F21" s="20"/>
      <c r="G21" s="20"/>
    </row>
    <row r="22" spans="2:25" ht="18.600000000000001" customHeight="1" x14ac:dyDescent="0.25">
      <c r="B22" s="2" t="s">
        <v>16</v>
      </c>
      <c r="C22" s="2"/>
      <c r="D22" s="2"/>
      <c r="E22" s="2"/>
      <c r="F22" s="2"/>
      <c r="G22" s="2"/>
    </row>
    <row r="23" spans="2:25" ht="18.600000000000001" customHeight="1" x14ac:dyDescent="0.25">
      <c r="B23" s="1" t="s">
        <v>17</v>
      </c>
      <c r="C23" s="1"/>
      <c r="D23" s="1"/>
      <c r="E23" s="1"/>
      <c r="F23" s="1"/>
      <c r="G23" s="1"/>
      <c r="I23" s="16">
        <v>5</v>
      </c>
      <c r="J23" s="17">
        <v>0</v>
      </c>
      <c r="K23" s="16">
        <v>0</v>
      </c>
      <c r="L23" s="17">
        <v>0</v>
      </c>
      <c r="M23" s="16">
        <v>0</v>
      </c>
      <c r="N23" s="17">
        <v>0</v>
      </c>
      <c r="O23" s="16">
        <v>0</v>
      </c>
      <c r="P23" s="17">
        <v>0</v>
      </c>
      <c r="Q23" s="16">
        <v>0</v>
      </c>
      <c r="R23" s="18">
        <v>0</v>
      </c>
      <c r="S23" s="16">
        <v>0</v>
      </c>
      <c r="T23" s="19">
        <v>0</v>
      </c>
      <c r="U23" s="16">
        <v>0</v>
      </c>
    </row>
    <row r="24" spans="2:25" ht="52.15" customHeight="1" x14ac:dyDescent="0.25">
      <c r="B24" s="1" t="s">
        <v>18</v>
      </c>
      <c r="C24" s="1"/>
      <c r="D24" s="1"/>
      <c r="E24" s="1"/>
      <c r="F24" s="1"/>
      <c r="G24" s="1"/>
      <c r="I24" s="16">
        <v>5</v>
      </c>
      <c r="J24" s="17">
        <v>0</v>
      </c>
      <c r="K24" s="16">
        <v>0</v>
      </c>
      <c r="L24" s="17">
        <v>0</v>
      </c>
      <c r="M24" s="16">
        <v>0</v>
      </c>
      <c r="N24" s="17">
        <v>0</v>
      </c>
      <c r="O24" s="16">
        <v>0</v>
      </c>
      <c r="P24" s="17">
        <v>0</v>
      </c>
      <c r="Q24" s="16">
        <v>0</v>
      </c>
      <c r="R24" s="18">
        <v>0</v>
      </c>
      <c r="S24" s="16">
        <v>0</v>
      </c>
      <c r="T24" s="19">
        <v>0</v>
      </c>
      <c r="U24" s="16">
        <v>0</v>
      </c>
    </row>
    <row r="25" spans="2:25" ht="18.75" x14ac:dyDescent="0.25">
      <c r="B25" s="20"/>
      <c r="C25" s="20"/>
      <c r="D25" s="20"/>
      <c r="E25" s="20"/>
      <c r="F25" s="20"/>
      <c r="G25" s="20"/>
    </row>
    <row r="26" spans="2:25" ht="18.600000000000001" customHeight="1" x14ac:dyDescent="0.25">
      <c r="B26" s="2" t="s">
        <v>19</v>
      </c>
      <c r="C26" s="2"/>
      <c r="D26" s="2"/>
      <c r="E26" s="2"/>
      <c r="F26" s="2"/>
      <c r="G26" s="2"/>
    </row>
    <row r="27" spans="2:25" ht="34.700000000000003" customHeight="1" x14ac:dyDescent="0.25">
      <c r="B27" s="1" t="s">
        <v>20</v>
      </c>
      <c r="C27" s="1"/>
      <c r="D27" s="1"/>
      <c r="E27" s="1"/>
      <c r="F27" s="1"/>
      <c r="G27" s="1"/>
      <c r="I27" s="16">
        <v>5</v>
      </c>
      <c r="J27" s="17">
        <v>0</v>
      </c>
      <c r="K27" s="16">
        <v>0</v>
      </c>
      <c r="L27" s="17">
        <v>0</v>
      </c>
      <c r="M27" s="16">
        <v>0</v>
      </c>
      <c r="N27" s="17">
        <v>0</v>
      </c>
      <c r="O27" s="16">
        <v>0</v>
      </c>
      <c r="P27" s="17">
        <v>0</v>
      </c>
      <c r="Q27" s="16">
        <v>0</v>
      </c>
      <c r="R27" s="18">
        <v>0</v>
      </c>
      <c r="S27" s="16">
        <v>0</v>
      </c>
      <c r="T27" s="19">
        <v>0</v>
      </c>
      <c r="U27" s="16">
        <v>0</v>
      </c>
    </row>
    <row r="28" spans="2:25" ht="18.75" x14ac:dyDescent="0.25">
      <c r="B28" s="20"/>
      <c r="C28" s="20"/>
      <c r="D28" s="20"/>
      <c r="E28" s="20"/>
      <c r="F28" s="20"/>
      <c r="G28" s="20"/>
    </row>
    <row r="29" spans="2:25" ht="18.600000000000001" customHeight="1" x14ac:dyDescent="0.25">
      <c r="B29" s="2" t="s">
        <v>21</v>
      </c>
      <c r="C29" s="2"/>
      <c r="D29" s="2"/>
      <c r="E29" s="2"/>
      <c r="F29" s="2"/>
      <c r="G29" s="2"/>
    </row>
    <row r="30" spans="2:25" ht="18.600000000000001" customHeight="1" x14ac:dyDescent="0.25">
      <c r="B30" s="1" t="s">
        <v>22</v>
      </c>
      <c r="C30" s="1"/>
      <c r="D30" s="1"/>
      <c r="E30" s="1"/>
      <c r="F30" s="1"/>
      <c r="G30" s="1"/>
      <c r="I30" s="16">
        <v>5</v>
      </c>
      <c r="J30" s="17">
        <v>0</v>
      </c>
      <c r="K30" s="16">
        <v>0</v>
      </c>
      <c r="L30" s="17">
        <v>0</v>
      </c>
      <c r="M30" s="16">
        <v>0</v>
      </c>
      <c r="N30" s="17">
        <v>0</v>
      </c>
      <c r="O30" s="16">
        <v>0</v>
      </c>
      <c r="P30" s="17">
        <v>0</v>
      </c>
      <c r="Q30" s="16">
        <v>0</v>
      </c>
      <c r="R30" s="18">
        <v>0</v>
      </c>
      <c r="S30" s="16">
        <v>0</v>
      </c>
      <c r="T30" s="19">
        <v>0</v>
      </c>
      <c r="U30" s="16">
        <v>0</v>
      </c>
    </row>
    <row r="31" spans="2:25" x14ac:dyDescent="0.25">
      <c r="B31" s="22"/>
      <c r="C31" s="22"/>
      <c r="D31" s="22"/>
      <c r="E31" s="22"/>
      <c r="F31" s="22"/>
      <c r="G31" s="22"/>
    </row>
    <row r="32" spans="2:25" ht="19.5" x14ac:dyDescent="0.25">
      <c r="B32" s="2" t="str">
        <f>B6</f>
        <v>GENERAL (10%)</v>
      </c>
      <c r="C32" s="2"/>
      <c r="D32" s="2"/>
      <c r="E32" s="2"/>
      <c r="F32" s="2"/>
      <c r="G32" s="2"/>
      <c r="I32" s="23">
        <f t="shared" ref="I32:U32" si="0">AVERAGE(I7:I9)*100/5</f>
        <v>100</v>
      </c>
      <c r="J32" s="24">
        <f t="shared" si="0"/>
        <v>0</v>
      </c>
      <c r="K32" s="25">
        <f t="shared" si="0"/>
        <v>0</v>
      </c>
      <c r="L32" s="24">
        <f t="shared" si="0"/>
        <v>0</v>
      </c>
      <c r="M32" s="25">
        <f t="shared" si="0"/>
        <v>0</v>
      </c>
      <c r="N32" s="24">
        <f t="shared" si="0"/>
        <v>0</v>
      </c>
      <c r="O32" s="25">
        <f t="shared" si="0"/>
        <v>0</v>
      </c>
      <c r="P32" s="24">
        <f t="shared" si="0"/>
        <v>0</v>
      </c>
      <c r="Q32" s="25">
        <f t="shared" si="0"/>
        <v>0</v>
      </c>
      <c r="R32" s="24">
        <f t="shared" si="0"/>
        <v>0</v>
      </c>
      <c r="S32" s="25">
        <f t="shared" si="0"/>
        <v>0</v>
      </c>
      <c r="T32" s="26">
        <f t="shared" si="0"/>
        <v>0</v>
      </c>
      <c r="U32" s="25">
        <f t="shared" si="0"/>
        <v>0</v>
      </c>
      <c r="V32" s="27"/>
      <c r="W32" s="27"/>
      <c r="X32" s="27"/>
      <c r="Y32" s="27"/>
    </row>
    <row r="33" spans="2:25" ht="19.5" x14ac:dyDescent="0.25">
      <c r="B33" s="2" t="str">
        <f>B12</f>
        <v>PROPUESTA (35%)</v>
      </c>
      <c r="C33" s="2"/>
      <c r="D33" s="2"/>
      <c r="E33" s="2"/>
      <c r="F33" s="2"/>
      <c r="G33" s="2"/>
      <c r="I33" s="23">
        <f t="shared" ref="I33:U33" si="1">AVERAGE(I13:I15)*100/5</f>
        <v>100</v>
      </c>
      <c r="J33" s="24">
        <f t="shared" si="1"/>
        <v>0</v>
      </c>
      <c r="K33" s="25">
        <f t="shared" si="1"/>
        <v>0</v>
      </c>
      <c r="L33" s="24">
        <f t="shared" si="1"/>
        <v>0</v>
      </c>
      <c r="M33" s="25">
        <f t="shared" si="1"/>
        <v>0</v>
      </c>
      <c r="N33" s="24">
        <f t="shared" si="1"/>
        <v>0</v>
      </c>
      <c r="O33" s="25">
        <f t="shared" si="1"/>
        <v>0</v>
      </c>
      <c r="P33" s="24">
        <f t="shared" si="1"/>
        <v>0</v>
      </c>
      <c r="Q33" s="25">
        <f t="shared" si="1"/>
        <v>0</v>
      </c>
      <c r="R33" s="24">
        <f t="shared" si="1"/>
        <v>0</v>
      </c>
      <c r="S33" s="25">
        <f t="shared" si="1"/>
        <v>0</v>
      </c>
      <c r="T33" s="26">
        <f t="shared" si="1"/>
        <v>0</v>
      </c>
      <c r="U33" s="25">
        <f t="shared" si="1"/>
        <v>0</v>
      </c>
      <c r="V33" s="27"/>
      <c r="W33" s="27"/>
      <c r="X33" s="27"/>
      <c r="Y33" s="27"/>
    </row>
    <row r="34" spans="2:25" ht="19.5" x14ac:dyDescent="0.25">
      <c r="B34" s="2" t="str">
        <f>B17</f>
        <v>EXPERIMENTOS (20%)</v>
      </c>
      <c r="C34" s="2"/>
      <c r="D34" s="2"/>
      <c r="E34" s="2"/>
      <c r="F34" s="2"/>
      <c r="G34" s="2"/>
      <c r="I34" s="23">
        <f t="shared" ref="I34:U34" si="2">AVERAGE(I18:I20)*100/5</f>
        <v>100</v>
      </c>
      <c r="J34" s="24">
        <f t="shared" si="2"/>
        <v>0</v>
      </c>
      <c r="K34" s="25">
        <f t="shared" si="2"/>
        <v>0</v>
      </c>
      <c r="L34" s="24">
        <f t="shared" si="2"/>
        <v>0</v>
      </c>
      <c r="M34" s="25">
        <f t="shared" si="2"/>
        <v>0</v>
      </c>
      <c r="N34" s="24">
        <f t="shared" si="2"/>
        <v>0</v>
      </c>
      <c r="O34" s="25">
        <f t="shared" si="2"/>
        <v>0</v>
      </c>
      <c r="P34" s="24">
        <f t="shared" si="2"/>
        <v>0</v>
      </c>
      <c r="Q34" s="25">
        <f t="shared" si="2"/>
        <v>0</v>
      </c>
      <c r="R34" s="24">
        <f t="shared" si="2"/>
        <v>0</v>
      </c>
      <c r="S34" s="25">
        <f t="shared" si="2"/>
        <v>0</v>
      </c>
      <c r="T34" s="26">
        <f t="shared" si="2"/>
        <v>0</v>
      </c>
      <c r="U34" s="25">
        <f t="shared" si="2"/>
        <v>0</v>
      </c>
      <c r="V34" s="27"/>
      <c r="W34" s="27"/>
      <c r="X34" s="27"/>
      <c r="Y34" s="27"/>
    </row>
    <row r="35" spans="2:25" ht="19.5" x14ac:dyDescent="0.25">
      <c r="B35" s="2" t="str">
        <f>B22</f>
        <v>CONCLUSIONES (20%)</v>
      </c>
      <c r="C35" s="2"/>
      <c r="D35" s="2"/>
      <c r="E35" s="2"/>
      <c r="F35" s="2"/>
      <c r="G35" s="2"/>
      <c r="I35" s="23">
        <f t="shared" ref="I35:U35" si="3">AVERAGE(I23:I24)*100/5</f>
        <v>100</v>
      </c>
      <c r="J35" s="24">
        <f t="shared" si="3"/>
        <v>0</v>
      </c>
      <c r="K35" s="25">
        <f t="shared" si="3"/>
        <v>0</v>
      </c>
      <c r="L35" s="24">
        <f t="shared" si="3"/>
        <v>0</v>
      </c>
      <c r="M35" s="25">
        <f t="shared" si="3"/>
        <v>0</v>
      </c>
      <c r="N35" s="24">
        <f t="shared" si="3"/>
        <v>0</v>
      </c>
      <c r="O35" s="25">
        <f t="shared" si="3"/>
        <v>0</v>
      </c>
      <c r="P35" s="24">
        <f t="shared" si="3"/>
        <v>0</v>
      </c>
      <c r="Q35" s="25">
        <f t="shared" si="3"/>
        <v>0</v>
      </c>
      <c r="R35" s="24">
        <f t="shared" si="3"/>
        <v>0</v>
      </c>
      <c r="S35" s="25">
        <f t="shared" si="3"/>
        <v>0</v>
      </c>
      <c r="T35" s="26">
        <f t="shared" si="3"/>
        <v>0</v>
      </c>
      <c r="U35" s="25">
        <f t="shared" si="3"/>
        <v>0</v>
      </c>
      <c r="V35" s="27"/>
      <c r="W35" s="27"/>
      <c r="X35" s="27"/>
      <c r="Y35" s="27"/>
    </row>
    <row r="36" spans="2:25" ht="19.5" x14ac:dyDescent="0.25">
      <c r="B36" s="2" t="str">
        <f>B26</f>
        <v>TIEMPO (10%)</v>
      </c>
      <c r="C36" s="2"/>
      <c r="D36" s="2"/>
      <c r="E36" s="2"/>
      <c r="F36" s="2"/>
      <c r="G36" s="2"/>
      <c r="I36" s="23">
        <f t="shared" ref="I36:U36" si="4">AVERAGE(I27)*100/5</f>
        <v>100</v>
      </c>
      <c r="J36" s="24">
        <f t="shared" si="4"/>
        <v>0</v>
      </c>
      <c r="K36" s="25">
        <f t="shared" si="4"/>
        <v>0</v>
      </c>
      <c r="L36" s="24">
        <f t="shared" si="4"/>
        <v>0</v>
      </c>
      <c r="M36" s="25">
        <f t="shared" si="4"/>
        <v>0</v>
      </c>
      <c r="N36" s="24">
        <f t="shared" si="4"/>
        <v>0</v>
      </c>
      <c r="O36" s="25">
        <f t="shared" si="4"/>
        <v>0</v>
      </c>
      <c r="P36" s="24">
        <f t="shared" si="4"/>
        <v>0</v>
      </c>
      <c r="Q36" s="25">
        <f t="shared" si="4"/>
        <v>0</v>
      </c>
      <c r="R36" s="24">
        <f t="shared" si="4"/>
        <v>0</v>
      </c>
      <c r="S36" s="25">
        <f t="shared" si="4"/>
        <v>0</v>
      </c>
      <c r="T36" s="26">
        <f t="shared" si="4"/>
        <v>0</v>
      </c>
      <c r="U36" s="25">
        <f t="shared" si="4"/>
        <v>0</v>
      </c>
      <c r="V36" s="27"/>
      <c r="W36" s="27"/>
      <c r="X36" s="27"/>
      <c r="Y36" s="27"/>
    </row>
    <row r="37" spans="2:25" ht="19.5" x14ac:dyDescent="0.25">
      <c r="B37" s="2" t="str">
        <f>B29</f>
        <v>MATERIAL (5%)</v>
      </c>
      <c r="C37" s="2"/>
      <c r="D37" s="2"/>
      <c r="E37" s="2"/>
      <c r="F37" s="2"/>
      <c r="G37" s="2"/>
      <c r="I37" s="28">
        <f t="shared" ref="I37:U37" si="5">AVERAGE(I30:I30)*100/5</f>
        <v>100</v>
      </c>
      <c r="J37" s="29">
        <f t="shared" si="5"/>
        <v>0</v>
      </c>
      <c r="K37" s="30">
        <f t="shared" si="5"/>
        <v>0</v>
      </c>
      <c r="L37" s="29">
        <f t="shared" si="5"/>
        <v>0</v>
      </c>
      <c r="M37" s="30">
        <f t="shared" si="5"/>
        <v>0</v>
      </c>
      <c r="N37" s="29">
        <f t="shared" si="5"/>
        <v>0</v>
      </c>
      <c r="O37" s="30">
        <f t="shared" si="5"/>
        <v>0</v>
      </c>
      <c r="P37" s="29">
        <f t="shared" si="5"/>
        <v>0</v>
      </c>
      <c r="Q37" s="30">
        <f t="shared" si="5"/>
        <v>0</v>
      </c>
      <c r="R37" s="29">
        <f t="shared" si="5"/>
        <v>0</v>
      </c>
      <c r="S37" s="30">
        <f t="shared" si="5"/>
        <v>0</v>
      </c>
      <c r="T37" s="31">
        <f t="shared" si="5"/>
        <v>0</v>
      </c>
      <c r="U37" s="30">
        <f t="shared" si="5"/>
        <v>0</v>
      </c>
      <c r="V37" s="27"/>
      <c r="W37" s="27"/>
      <c r="X37" s="27"/>
      <c r="Y37" s="27"/>
    </row>
    <row r="38" spans="2:25" ht="18.600000000000001" customHeight="1" x14ac:dyDescent="0.25">
      <c r="B38" s="2" t="s">
        <v>23</v>
      </c>
      <c r="C38" s="2"/>
      <c r="D38" s="2"/>
      <c r="E38" s="2"/>
      <c r="F38" s="2"/>
      <c r="G38" s="2"/>
      <c r="I38" s="23">
        <f t="shared" ref="I38:U38" si="6">0.1*I32+0.35*I33+0.2*I34+0.2*I35+0.1*I36+0.05*I37</f>
        <v>100</v>
      </c>
      <c r="J38" s="24">
        <f t="shared" si="6"/>
        <v>0</v>
      </c>
      <c r="K38" s="25">
        <f t="shared" si="6"/>
        <v>0</v>
      </c>
      <c r="L38" s="24">
        <f t="shared" si="6"/>
        <v>0</v>
      </c>
      <c r="M38" s="25">
        <f t="shared" si="6"/>
        <v>0</v>
      </c>
      <c r="N38" s="24">
        <f t="shared" si="6"/>
        <v>0</v>
      </c>
      <c r="O38" s="25">
        <f t="shared" si="6"/>
        <v>0</v>
      </c>
      <c r="P38" s="24">
        <f t="shared" si="6"/>
        <v>0</v>
      </c>
      <c r="Q38" s="25">
        <f t="shared" si="6"/>
        <v>0</v>
      </c>
      <c r="R38" s="24">
        <f t="shared" si="6"/>
        <v>0</v>
      </c>
      <c r="S38" s="25">
        <f t="shared" si="6"/>
        <v>0</v>
      </c>
      <c r="T38" s="26">
        <f t="shared" si="6"/>
        <v>0</v>
      </c>
      <c r="U38" s="25">
        <f t="shared" si="6"/>
        <v>0</v>
      </c>
      <c r="V38" s="27"/>
      <c r="W38" s="27"/>
      <c r="X38" s="27"/>
      <c r="Y38" s="27"/>
    </row>
    <row r="39" spans="2:25" ht="18.600000000000001" customHeight="1" x14ac:dyDescent="0.25">
      <c r="B39" s="2" t="s">
        <v>24</v>
      </c>
      <c r="C39" s="2"/>
      <c r="D39" s="2"/>
      <c r="E39" s="2"/>
      <c r="F39" s="2"/>
      <c r="G39" s="2"/>
      <c r="I39" s="16">
        <v>0</v>
      </c>
      <c r="J39" s="24">
        <v>0</v>
      </c>
      <c r="K39" s="25">
        <v>0</v>
      </c>
      <c r="L39" s="24">
        <v>0</v>
      </c>
      <c r="M39" s="25">
        <v>0</v>
      </c>
      <c r="N39" s="24">
        <v>100</v>
      </c>
      <c r="O39" s="25">
        <v>0</v>
      </c>
      <c r="P39" s="24">
        <v>0</v>
      </c>
      <c r="Q39" s="25">
        <v>0</v>
      </c>
      <c r="R39" s="24">
        <v>0</v>
      </c>
      <c r="S39" s="25">
        <v>0</v>
      </c>
      <c r="T39" s="26">
        <v>0</v>
      </c>
      <c r="U39" s="32">
        <v>0</v>
      </c>
    </row>
    <row r="40" spans="2:25" ht="18.600000000000001" customHeight="1" x14ac:dyDescent="0.25">
      <c r="B40" s="2" t="s">
        <v>25</v>
      </c>
      <c r="C40" s="2"/>
      <c r="D40" s="2"/>
      <c r="E40" s="2"/>
      <c r="F40" s="2"/>
      <c r="G40" s="2"/>
      <c r="I40" s="16">
        <f t="shared" ref="I40:U40" si="7">IF(I38-I39&lt;0,0,I38-I39)</f>
        <v>100</v>
      </c>
      <c r="J40" s="24">
        <f t="shared" si="7"/>
        <v>0</v>
      </c>
      <c r="K40" s="25">
        <f t="shared" si="7"/>
        <v>0</v>
      </c>
      <c r="L40" s="24">
        <f t="shared" si="7"/>
        <v>0</v>
      </c>
      <c r="M40" s="25">
        <f t="shared" si="7"/>
        <v>0</v>
      </c>
      <c r="N40" s="24">
        <f t="shared" si="7"/>
        <v>0</v>
      </c>
      <c r="O40" s="25">
        <f t="shared" si="7"/>
        <v>0</v>
      </c>
      <c r="P40" s="24">
        <f t="shared" si="7"/>
        <v>0</v>
      </c>
      <c r="Q40" s="25">
        <f t="shared" si="7"/>
        <v>0</v>
      </c>
      <c r="R40" s="24">
        <f t="shared" si="7"/>
        <v>0</v>
      </c>
      <c r="S40" s="25">
        <f t="shared" si="7"/>
        <v>0</v>
      </c>
      <c r="T40" s="26">
        <f t="shared" si="7"/>
        <v>0</v>
      </c>
      <c r="U40" s="25">
        <f t="shared" si="7"/>
        <v>0</v>
      </c>
    </row>
  </sheetData>
  <mergeCells count="48">
    <mergeCell ref="B39:G39"/>
    <mergeCell ref="B40:G40"/>
    <mergeCell ref="B34:G34"/>
    <mergeCell ref="B35:G35"/>
    <mergeCell ref="B36:G36"/>
    <mergeCell ref="B37:G37"/>
    <mergeCell ref="B38:G38"/>
    <mergeCell ref="B27:G27"/>
    <mergeCell ref="B29:G29"/>
    <mergeCell ref="B30:G30"/>
    <mergeCell ref="B32:G32"/>
    <mergeCell ref="B33:G33"/>
    <mergeCell ref="B20:G20"/>
    <mergeCell ref="B22:G22"/>
    <mergeCell ref="B23:G23"/>
    <mergeCell ref="B24:G24"/>
    <mergeCell ref="B26:G26"/>
    <mergeCell ref="B14:G14"/>
    <mergeCell ref="B15:G15"/>
    <mergeCell ref="B17:G17"/>
    <mergeCell ref="B18:G18"/>
    <mergeCell ref="B19:G19"/>
    <mergeCell ref="B7:G7"/>
    <mergeCell ref="B8:G8"/>
    <mergeCell ref="B9:G9"/>
    <mergeCell ref="B12:G12"/>
    <mergeCell ref="B13:G13"/>
    <mergeCell ref="V3:V4"/>
    <mergeCell ref="W3:W4"/>
    <mergeCell ref="X3:X4"/>
    <mergeCell ref="Y3:Y4"/>
    <mergeCell ref="B6:G6"/>
    <mergeCell ref="B1:G1"/>
    <mergeCell ref="I1:U1"/>
    <mergeCell ref="B3:G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</mergeCells>
  <conditionalFormatting sqref="I2:Z2 I3:Y3 Z3:Z4 I5:N5 P5 S5:Z5 Z6 V7:Z27 Z29 I31:Z31 V39:Z39">
    <cfRule type="cellIs" dxfId="0" priority="2" operator="lessThan">
      <formula>54.5</formula>
    </cfRule>
  </conditionalFormatting>
  <pageMargins left="0.7" right="0.7" top="0.75" bottom="0.75" header="0.511811023622047" footer="0.511811023622047"/>
  <pageSetup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 Rojas</dc:creator>
  <dc:description/>
  <cp:lastModifiedBy>PABLO IGNACIO ESTOBAR FERNÁNDEZ (Alumno)</cp:lastModifiedBy>
  <cp:revision>6</cp:revision>
  <dcterms:created xsi:type="dcterms:W3CDTF">2023-11-09T19:39:17Z</dcterms:created>
  <dcterms:modified xsi:type="dcterms:W3CDTF">2025-07-02T18:21:29Z</dcterms:modified>
  <dc:language>en-US</dc:language>
</cp:coreProperties>
</file>